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1"/>
  <workbookPr filterPrivacy="1" defaultThemeVersion="124226"/>
  <xr:revisionPtr revIDLastSave="0" documentId="8_{07663C40-D80C-424C-8DA3-2CA3291BD769}" xr6:coauthVersionLast="47" xr6:coauthVersionMax="47" xr10:uidLastSave="{00000000-0000-0000-0000-000000000000}"/>
  <bookViews>
    <workbookView xWindow="0" yWindow="660" windowWidth="29400" windowHeight="18460" xr2:uid="{00000000-000D-0000-FFFF-FFFF00000000}"/>
  </bookViews>
  <sheets>
    <sheet name="Sheet1" sheetId="1" r:id="rId1"/>
  </sheet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8" i="1" l="1"/>
  <c r="L21" i="1"/>
  <c r="M18" i="1"/>
  <c r="M21" i="1"/>
  <c r="N18" i="1"/>
  <c r="N21" i="1"/>
  <c r="O18" i="1"/>
  <c r="O21" i="1"/>
  <c r="K18" i="1"/>
  <c r="K21" i="1"/>
  <c r="L24" i="1"/>
  <c r="L28" i="1"/>
  <c r="L32" i="1"/>
  <c r="L36" i="1"/>
  <c r="L40" i="1"/>
  <c r="L44" i="1"/>
  <c r="L47" i="1"/>
  <c r="L51" i="1"/>
  <c r="L54" i="1"/>
  <c r="M24" i="1"/>
  <c r="M28" i="1"/>
  <c r="M32" i="1"/>
  <c r="M36" i="1"/>
  <c r="M40" i="1"/>
  <c r="M44" i="1"/>
  <c r="M47" i="1"/>
  <c r="M51" i="1"/>
  <c r="M54" i="1"/>
  <c r="N24" i="1"/>
  <c r="N28" i="1"/>
  <c r="N32" i="1"/>
  <c r="N36" i="1"/>
  <c r="N40" i="1"/>
  <c r="N44" i="1"/>
  <c r="N47" i="1"/>
  <c r="N51" i="1"/>
  <c r="N54" i="1"/>
  <c r="O24" i="1"/>
  <c r="O28" i="1"/>
  <c r="O32" i="1"/>
  <c r="O36" i="1"/>
  <c r="O40" i="1"/>
  <c r="O44" i="1"/>
  <c r="O47" i="1"/>
  <c r="O51" i="1"/>
  <c r="O54" i="1"/>
  <c r="K32" i="1"/>
  <c r="K36" i="1"/>
  <c r="P37" i="1"/>
  <c r="K40" i="1"/>
  <c r="K44" i="1"/>
  <c r="P45" i="1"/>
  <c r="K47" i="1"/>
  <c r="K51" i="1"/>
  <c r="P52" i="1"/>
  <c r="K24" i="1"/>
  <c r="K28" i="1"/>
  <c r="O15" i="1"/>
  <c r="N15" i="1"/>
  <c r="M15" i="1"/>
  <c r="P29" i="1"/>
  <c r="L15" i="1"/>
  <c r="K15" i="1"/>
  <c r="F15" i="1"/>
  <c r="E15" i="1"/>
  <c r="D15" i="1"/>
  <c r="C15" i="1"/>
  <c r="B15" i="1"/>
  <c r="K54" i="1"/>
  <c r="P55" i="1"/>
  <c r="P22" i="1"/>
</calcChain>
</file>

<file path=xl/sharedStrings.xml><?xml version="1.0" encoding="utf-8"?>
<sst xmlns="http://schemas.openxmlformats.org/spreadsheetml/2006/main" count="78" uniqueCount="64">
  <si>
    <t>Milestone 1 Checklist</t>
  </si>
  <si>
    <t>Status</t>
  </si>
  <si>
    <t>Team Members</t>
  </si>
  <si>
    <r>
      <t xml:space="preserve">Instructions: </t>
    </r>
    <r>
      <rPr>
        <b/>
        <sz val="11"/>
        <color rgb="FFFF0000"/>
        <rFont val="Calibri"/>
        <family val="2"/>
        <scheme val="minor"/>
      </rPr>
      <t xml:space="preserve">Fill in only green portions. </t>
    </r>
    <r>
      <rPr>
        <sz val="11"/>
        <color rgb="FFFF0000"/>
        <rFont val="Calibri"/>
        <family val="2"/>
        <scheme val="minor"/>
      </rPr>
      <t xml:space="preserve"> For the activities table put number 1 in the square under each name if that individual participated in that activity. The number of hours for each individual will be calculated automatically. Readjust cell size to be sure all text is visible as needed.</t>
    </r>
  </si>
  <si>
    <t>List 6 Oppurtunity Statements</t>
  </si>
  <si>
    <t>In-Progress</t>
  </si>
  <si>
    <t>Evaluation of OS</t>
  </si>
  <si>
    <t>Not started</t>
  </si>
  <si>
    <t xml:space="preserve">First Name </t>
  </si>
  <si>
    <t>Last Name</t>
  </si>
  <si>
    <t>Nickname (max 6 characters)</t>
  </si>
  <si>
    <t>Ranking</t>
  </si>
  <si>
    <t>Alexa</t>
  </si>
  <si>
    <t>De Villa</t>
  </si>
  <si>
    <t>Mission Statment</t>
  </si>
  <si>
    <t>Julia</t>
  </si>
  <si>
    <t>Kyrychuk</t>
  </si>
  <si>
    <t>Team Blog</t>
  </si>
  <si>
    <t>Rayan</t>
  </si>
  <si>
    <t xml:space="preserve">Ouazine </t>
  </si>
  <si>
    <t>Expectation of Originality Form</t>
  </si>
  <si>
    <t>Completed</t>
  </si>
  <si>
    <t>Arun</t>
  </si>
  <si>
    <t>Thangadurai</t>
  </si>
  <si>
    <t>Martin</t>
  </si>
  <si>
    <t>Miskovski</t>
  </si>
  <si>
    <t>Add more rows as necessary</t>
  </si>
  <si>
    <t>Activities Table</t>
  </si>
  <si>
    <t>Date</t>
  </si>
  <si>
    <t>Who</t>
  </si>
  <si>
    <t>Type of Activty</t>
  </si>
  <si>
    <t>Number of hourse spent</t>
  </si>
  <si>
    <t xml:space="preserve">Purpose </t>
  </si>
  <si>
    <t>Output</t>
  </si>
  <si>
    <t>Hours spent</t>
  </si>
  <si>
    <t>Milestone 1</t>
  </si>
  <si>
    <t>Work at home</t>
  </si>
  <si>
    <t xml:space="preserve">Think of opportunities </t>
  </si>
  <si>
    <t>Came up with 5 possible project ideas</t>
  </si>
  <si>
    <t>meeting</t>
  </si>
  <si>
    <t>Set mission statement</t>
  </si>
  <si>
    <t>3 opportunity statements. Rank. Write mission statement</t>
  </si>
  <si>
    <t>Total hours</t>
  </si>
  <si>
    <t>Total team hours</t>
  </si>
  <si>
    <t xml:space="preserve">Milestone 2 </t>
  </si>
  <si>
    <t>work at home</t>
  </si>
  <si>
    <t>Create draft interview script</t>
  </si>
  <si>
    <t>Draft interview script</t>
  </si>
  <si>
    <t>Sprint 1</t>
  </si>
  <si>
    <t>Meet</t>
  </si>
  <si>
    <t>Plan sprint 1</t>
  </si>
  <si>
    <t>Sprint 1 goal. Sprint backlog</t>
  </si>
  <si>
    <t>Sprint 2</t>
  </si>
  <si>
    <t>Work in lab</t>
  </si>
  <si>
    <t>Integrate motion sensor into project</t>
  </si>
  <si>
    <t>Sensor data makes its way to serer and then to phone</t>
  </si>
  <si>
    <t>Total Team hours</t>
  </si>
  <si>
    <t>Sprint 3</t>
  </si>
  <si>
    <t>Prepare final demo</t>
  </si>
  <si>
    <t>List all functionality to be demoed: What order to demo it? How to best demo each function?</t>
  </si>
  <si>
    <t>Final Demo 10 minutes long</t>
  </si>
  <si>
    <t>total team hours</t>
  </si>
  <si>
    <t>Total hour over project</t>
  </si>
  <si>
    <t>Total team hours over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</si>
</sst>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006100"/>
      <name val="Calibri"/>
      <family val="2"/>
      <scheme val="minor"/>
    </font>
    <font>
      <sz val="11"/>
      <color rgb="FFFF0000"/>
      <name val="Calibri"/>
      <family val="2"/>
      <scheme val="minor"/>
    </font>
    <font>
      <b/>
      <sz val="11"/>
      <color rgb="FFFF0000"/>
      <name val="Calibri"/>
      <family val="2"/>
      <scheme val="minor"/>
    </font>
    <font>
      <b/>
      <sz val="11"/>
      <color rgb="FF000000"/>
      <name val="Calibri"/>
      <family val="2"/>
      <scheme val="minor"/>
    </font>
  </fonts>
  <fills count="4">
    <fill>
      <patternFill patternType="none"/>
    </fill>
    <fill>
      <patternFill patternType="gray125"/>
    </fill>
    <fill>
      <patternFill patternType="solid">
        <fgColor rgb="FFC6EFCE"/>
      </patternFill>
    </fill>
    <fill>
      <patternFill patternType="solid">
        <fgColor theme="3" tint="0.39997558519241921"/>
        <bgColor indexed="64"/>
      </patternFill>
    </fill>
  </fills>
  <borders count="24">
    <border>
      <left/>
      <right/>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ck">
        <color auto="1"/>
      </right>
      <top style="thin">
        <color auto="1"/>
      </top>
      <bottom style="thick">
        <color auto="1"/>
      </bottom>
      <diagonal/>
    </border>
    <border>
      <left style="thick">
        <color auto="1"/>
      </left>
      <right style="thick">
        <color auto="1"/>
      </right>
      <top style="thin">
        <color auto="1"/>
      </top>
      <bottom style="thick">
        <color auto="1"/>
      </bottom>
      <diagonal/>
    </border>
    <border>
      <left style="thin">
        <color auto="1"/>
      </left>
      <right style="thick">
        <color auto="1"/>
      </right>
      <top style="thick">
        <color auto="1"/>
      </top>
      <bottom style="thin">
        <color auto="1"/>
      </bottom>
      <diagonal/>
    </border>
    <border>
      <left style="thick">
        <color auto="1"/>
      </left>
      <right style="thick">
        <color auto="1"/>
      </right>
      <top style="thick">
        <color auto="1"/>
      </top>
      <bottom style="thin">
        <color auto="1"/>
      </bottom>
      <diagonal/>
    </border>
    <border>
      <left style="thin">
        <color auto="1"/>
      </left>
      <right style="thick">
        <color auto="1"/>
      </right>
      <top/>
      <bottom/>
      <diagonal/>
    </border>
    <border>
      <left style="thick">
        <color auto="1"/>
      </left>
      <right style="thick">
        <color auto="1"/>
      </right>
      <top/>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auto="1"/>
      </right>
      <top/>
      <bottom/>
      <diagonal/>
    </border>
    <border>
      <left style="thick">
        <color auto="1"/>
      </left>
      <right/>
      <top style="thin">
        <color auto="1"/>
      </top>
      <bottom style="thick">
        <color auto="1"/>
      </bottom>
      <diagonal/>
    </border>
    <border>
      <left style="thick">
        <color auto="1"/>
      </left>
      <right/>
      <top/>
      <bottom/>
      <diagonal/>
    </border>
    <border>
      <left style="thick">
        <color auto="1"/>
      </left>
      <right/>
      <top style="thick">
        <color auto="1"/>
      </top>
      <bottom style="thin">
        <color auto="1"/>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s>
  <cellStyleXfs count="2">
    <xf numFmtId="0" fontId="0" fillId="0" borderId="0"/>
    <xf numFmtId="0" fontId="1" fillId="2" borderId="0" applyNumberFormat="0" applyBorder="0" applyAlignment="0" applyProtection="0"/>
  </cellStyleXfs>
  <cellXfs count="57">
    <xf numFmtId="0" fontId="0" fillId="0" borderId="0" xfId="0"/>
    <xf numFmtId="0" fontId="0" fillId="0" borderId="1" xfId="0" applyBorder="1"/>
    <xf numFmtId="0" fontId="0" fillId="0" borderId="6" xfId="0" applyBorder="1"/>
    <xf numFmtId="0" fontId="0" fillId="0" borderId="7" xfId="0" applyBorder="1"/>
    <xf numFmtId="0" fontId="0" fillId="0" borderId="8" xfId="0" applyBorder="1"/>
    <xf numFmtId="0" fontId="0" fillId="0" borderId="11" xfId="0" applyBorder="1"/>
    <xf numFmtId="0" fontId="0" fillId="0" borderId="12" xfId="0" applyBorder="1"/>
    <xf numFmtId="0" fontId="0" fillId="0" borderId="13" xfId="0" applyBorder="1" applyAlignment="1">
      <alignment horizontal="center"/>
    </xf>
    <xf numFmtId="0" fontId="0" fillId="0" borderId="14" xfId="0" applyBorder="1" applyAlignment="1">
      <alignment horizontal="center"/>
    </xf>
    <xf numFmtId="0" fontId="1" fillId="2" borderId="1" xfId="1" applyBorder="1"/>
    <xf numFmtId="0" fontId="1" fillId="2" borderId="0" xfId="1" applyBorder="1"/>
    <xf numFmtId="0" fontId="0" fillId="0" borderId="17" xfId="0" applyBorder="1"/>
    <xf numFmtId="0" fontId="1" fillId="2" borderId="6" xfId="1" applyBorder="1"/>
    <xf numFmtId="0" fontId="1" fillId="2" borderId="7" xfId="1" applyBorder="1"/>
    <xf numFmtId="0" fontId="0" fillId="0" borderId="19" xfId="0" applyBorder="1" applyAlignment="1">
      <alignment horizontal="center"/>
    </xf>
    <xf numFmtId="0" fontId="0" fillId="0" borderId="16" xfId="0" applyBorder="1"/>
    <xf numFmtId="0" fontId="0" fillId="0" borderId="21" xfId="0" applyBorder="1"/>
    <xf numFmtId="0" fontId="0" fillId="0" borderId="2" xfId="0" applyBorder="1" applyAlignment="1">
      <alignment vertical="top" wrapText="1"/>
    </xf>
    <xf numFmtId="0" fontId="0" fillId="0" borderId="4" xfId="0" applyBorder="1" applyAlignment="1">
      <alignment vertical="top" wrapText="1"/>
    </xf>
    <xf numFmtId="0" fontId="0" fillId="0" borderId="5" xfId="0" applyBorder="1" applyAlignment="1">
      <alignment vertical="top" wrapText="1"/>
    </xf>
    <xf numFmtId="0" fontId="0" fillId="0" borderId="0" xfId="0" applyAlignment="1">
      <alignment wrapText="1"/>
    </xf>
    <xf numFmtId="0" fontId="0" fillId="0" borderId="4" xfId="0" applyBorder="1" applyAlignment="1">
      <alignment horizontal="center" vertical="center" wrapText="1"/>
    </xf>
    <xf numFmtId="0" fontId="0" fillId="0" borderId="17" xfId="0" applyBorder="1" applyAlignment="1">
      <alignment vertical="top" wrapText="1"/>
    </xf>
    <xf numFmtId="0" fontId="0" fillId="0" borderId="3" xfId="0" applyBorder="1" applyAlignment="1">
      <alignment vertical="top" wrapText="1"/>
    </xf>
    <xf numFmtId="0" fontId="0" fillId="0" borderId="0" xfId="0" applyAlignment="1">
      <alignment vertical="top" wrapText="1"/>
    </xf>
    <xf numFmtId="15" fontId="1" fillId="2" borderId="3" xfId="1" applyNumberFormat="1" applyBorder="1" applyAlignment="1">
      <alignment vertical="top" wrapText="1"/>
    </xf>
    <xf numFmtId="0" fontId="1" fillId="2" borderId="4" xfId="1" applyBorder="1" applyAlignment="1">
      <alignment vertical="top" wrapText="1"/>
    </xf>
    <xf numFmtId="0" fontId="1" fillId="2" borderId="4" xfId="1" applyBorder="1" applyAlignment="1">
      <alignment horizontal="center" vertical="center" wrapText="1"/>
    </xf>
    <xf numFmtId="0" fontId="1" fillId="2" borderId="5" xfId="1" applyBorder="1" applyAlignment="1">
      <alignment vertical="top" wrapText="1"/>
    </xf>
    <xf numFmtId="15" fontId="1" fillId="2" borderId="1" xfId="1" applyNumberFormat="1" applyBorder="1" applyAlignment="1">
      <alignment vertical="top" wrapText="1"/>
    </xf>
    <xf numFmtId="0" fontId="1" fillId="2" borderId="0" xfId="1" applyBorder="1" applyAlignment="1">
      <alignment vertical="top" wrapText="1"/>
    </xf>
    <xf numFmtId="0" fontId="1" fillId="2" borderId="0" xfId="1" applyBorder="1" applyAlignment="1">
      <alignment horizontal="center" vertical="center" wrapText="1"/>
    </xf>
    <xf numFmtId="0" fontId="1" fillId="2" borderId="17" xfId="1" applyBorder="1" applyAlignment="1">
      <alignment vertical="top" wrapText="1"/>
    </xf>
    <xf numFmtId="0" fontId="0" fillId="0" borderId="3" xfId="0" applyBorder="1" applyAlignment="1">
      <alignment horizontal="center" vertical="top"/>
    </xf>
    <xf numFmtId="0" fontId="0" fillId="0" borderId="4" xfId="0" applyBorder="1" applyAlignment="1">
      <alignment horizontal="center" vertical="center"/>
    </xf>
    <xf numFmtId="0" fontId="0" fillId="0" borderId="5" xfId="0" applyBorder="1" applyAlignment="1">
      <alignment horizontal="center" vertical="center"/>
    </xf>
    <xf numFmtId="0" fontId="0" fillId="0" borderId="5" xfId="0" applyBorder="1"/>
    <xf numFmtId="0" fontId="0" fillId="0" borderId="7" xfId="0" applyBorder="1" applyAlignment="1">
      <alignment horizontal="center" wrapText="1"/>
    </xf>
    <xf numFmtId="0" fontId="0" fillId="0" borderId="20" xfId="0" applyBorder="1" applyAlignment="1">
      <alignment wrapText="1"/>
    </xf>
    <xf numFmtId="0" fontId="0" fillId="0" borderId="2" xfId="0" applyBorder="1"/>
    <xf numFmtId="0" fontId="2" fillId="0" borderId="0" xfId="0" applyFont="1"/>
    <xf numFmtId="0" fontId="4" fillId="3" borderId="0" xfId="0" applyFont="1" applyFill="1"/>
    <xf numFmtId="0" fontId="4" fillId="0" borderId="0" xfId="0" applyFont="1"/>
    <xf numFmtId="15" fontId="1" fillId="2" borderId="22" xfId="1" applyNumberFormat="1" applyBorder="1" applyAlignment="1">
      <alignment vertical="top" wrapText="1"/>
    </xf>
    <xf numFmtId="0" fontId="1" fillId="2" borderId="22" xfId="1" applyBorder="1" applyAlignment="1">
      <alignment vertical="top" wrapText="1"/>
    </xf>
    <xf numFmtId="0" fontId="1" fillId="2" borderId="22" xfId="1" applyBorder="1" applyAlignment="1">
      <alignment horizontal="center" vertical="center" wrapText="1"/>
    </xf>
    <xf numFmtId="0" fontId="0" fillId="0" borderId="23" xfId="0" applyBorder="1" applyAlignment="1">
      <alignment vertical="top" wrapText="1"/>
    </xf>
    <xf numFmtId="0" fontId="0" fillId="0" borderId="2" xfId="0" applyBorder="1" applyAlignment="1">
      <alignment horizontal="center"/>
    </xf>
    <xf numFmtId="0" fontId="2" fillId="0" borderId="0" xfId="0" applyFont="1" applyAlignment="1">
      <alignment horizontal="left" vertical="top" wrapText="1"/>
    </xf>
    <xf numFmtId="0" fontId="0" fillId="0" borderId="9" xfId="0" applyBorder="1" applyAlignment="1">
      <alignment horizontal="center"/>
    </xf>
    <xf numFmtId="0" fontId="0" fillId="0" borderId="10" xfId="0" applyBorder="1" applyAlignment="1">
      <alignment horizontal="center"/>
    </xf>
    <xf numFmtId="0" fontId="0" fillId="0" borderId="18" xfId="0" applyBorder="1" applyAlignment="1">
      <alignment horizontal="center"/>
    </xf>
    <xf numFmtId="0" fontId="0" fillId="0" borderId="2" xfId="0" applyBorder="1" applyAlignment="1">
      <alignment horizontal="center" vertical="top"/>
    </xf>
    <xf numFmtId="0" fontId="0" fillId="0" borderId="2" xfId="0" applyBorder="1" applyAlignment="1">
      <alignment horizontal="center" vertical="center"/>
    </xf>
    <xf numFmtId="0" fontId="0" fillId="0" borderId="2"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cellXfs>
  <cellStyles count="2">
    <cellStyle name="Good" xfId="1" builtinId="26"/>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T55"/>
  <sheetViews>
    <sheetView tabSelected="1" topLeftCell="A5" workbookViewId="0">
      <selection activeCell="A18" sqref="A18:J18"/>
    </sheetView>
  </sheetViews>
  <sheetFormatPr baseColWidth="10" defaultColWidth="8.83203125" defaultRowHeight="15" x14ac:dyDescent="0.2"/>
  <cols>
    <col min="1" max="1" width="11.83203125" customWidth="1"/>
    <col min="2" max="3" width="2.1640625" customWidth="1"/>
    <col min="4" max="4" width="1.6640625" customWidth="1"/>
    <col min="5" max="6" width="2.1640625" customWidth="1"/>
    <col min="7" max="7" width="13.5" customWidth="1"/>
    <col min="8" max="8" width="15.33203125" customWidth="1"/>
    <col min="9" max="9" width="21.83203125" customWidth="1"/>
    <col min="10" max="10" width="17.6640625" customWidth="1"/>
    <col min="17" max="17" width="35.6640625" customWidth="1"/>
    <col min="19" max="19" width="27.83203125" bestFit="1" customWidth="1"/>
    <col min="20" max="20" width="11.1640625" bestFit="1" customWidth="1"/>
    <col min="21" max="21" width="11" bestFit="1" customWidth="1"/>
    <col min="22" max="22" width="10.1640625" bestFit="1" customWidth="1"/>
    <col min="23" max="23" width="9.83203125" bestFit="1" customWidth="1"/>
  </cols>
  <sheetData>
    <row r="2" spans="1:20" x14ac:dyDescent="0.2">
      <c r="S2" s="41" t="s">
        <v>0</v>
      </c>
      <c r="T2" s="42" t="s">
        <v>1</v>
      </c>
    </row>
    <row r="3" spans="1:20" ht="16.5" customHeight="1" thickBot="1" x14ac:dyDescent="0.25">
      <c r="G3" s="49" t="s">
        <v>2</v>
      </c>
      <c r="H3" s="50"/>
      <c r="I3" s="51"/>
      <c r="J3" s="55"/>
      <c r="Q3" s="48" t="s">
        <v>3</v>
      </c>
      <c r="S3" t="s">
        <v>4</v>
      </c>
      <c r="T3" t="s">
        <v>5</v>
      </c>
    </row>
    <row r="4" spans="1:20" ht="17" thickTop="1" thickBot="1" x14ac:dyDescent="0.25">
      <c r="G4" s="7"/>
      <c r="H4" s="8"/>
      <c r="I4" s="14"/>
      <c r="J4" s="56"/>
      <c r="Q4" s="48"/>
      <c r="S4" t="s">
        <v>6</v>
      </c>
      <c r="T4" t="s">
        <v>7</v>
      </c>
    </row>
    <row r="5" spans="1:20" ht="33" thickTop="1" x14ac:dyDescent="0.2">
      <c r="G5" s="5" t="s">
        <v>8</v>
      </c>
      <c r="H5" s="6" t="s">
        <v>9</v>
      </c>
      <c r="I5" s="38" t="s">
        <v>10</v>
      </c>
      <c r="J5" s="56"/>
      <c r="Q5" s="48"/>
      <c r="S5" t="s">
        <v>11</v>
      </c>
      <c r="T5" t="s">
        <v>7</v>
      </c>
    </row>
    <row r="6" spans="1:20" x14ac:dyDescent="0.2">
      <c r="G6" s="9" t="s">
        <v>12</v>
      </c>
      <c r="H6" s="10" t="s">
        <v>13</v>
      </c>
      <c r="I6" s="10" t="s">
        <v>12</v>
      </c>
      <c r="J6" s="15"/>
      <c r="Q6" s="48"/>
      <c r="S6" t="s">
        <v>14</v>
      </c>
      <c r="T6" t="s">
        <v>7</v>
      </c>
    </row>
    <row r="7" spans="1:20" x14ac:dyDescent="0.2">
      <c r="G7" s="9" t="s">
        <v>15</v>
      </c>
      <c r="H7" s="10" t="s">
        <v>16</v>
      </c>
      <c r="I7" s="10" t="s">
        <v>15</v>
      </c>
      <c r="J7" s="15"/>
      <c r="Q7" s="48"/>
      <c r="S7" t="s">
        <v>17</v>
      </c>
      <c r="T7" t="s">
        <v>7</v>
      </c>
    </row>
    <row r="8" spans="1:20" x14ac:dyDescent="0.2">
      <c r="G8" s="9" t="s">
        <v>18</v>
      </c>
      <c r="H8" s="10" t="s">
        <v>19</v>
      </c>
      <c r="I8" s="10" t="s">
        <v>18</v>
      </c>
      <c r="J8" s="15"/>
      <c r="Q8" s="48"/>
      <c r="S8" t="s">
        <v>20</v>
      </c>
      <c r="T8" t="s">
        <v>21</v>
      </c>
    </row>
    <row r="9" spans="1:20" x14ac:dyDescent="0.2">
      <c r="G9" s="9" t="s">
        <v>22</v>
      </c>
      <c r="H9" s="10" t="s">
        <v>23</v>
      </c>
      <c r="I9" s="10" t="s">
        <v>22</v>
      </c>
      <c r="J9" s="15"/>
      <c r="Q9" s="48"/>
    </row>
    <row r="10" spans="1:20" x14ac:dyDescent="0.2">
      <c r="G10" s="12" t="s">
        <v>24</v>
      </c>
      <c r="H10" s="13" t="s">
        <v>25</v>
      </c>
      <c r="I10" s="13" t="s">
        <v>24</v>
      </c>
      <c r="J10" s="16"/>
      <c r="Q10" s="48"/>
    </row>
    <row r="11" spans="1:20" x14ac:dyDescent="0.2">
      <c r="Q11" s="40" t="s">
        <v>26</v>
      </c>
    </row>
    <row r="13" spans="1:20" x14ac:dyDescent="0.2">
      <c r="A13" t="s">
        <v>27</v>
      </c>
    </row>
    <row r="14" spans="1:20" x14ac:dyDescent="0.2">
      <c r="A14" s="52" t="s">
        <v>28</v>
      </c>
      <c r="B14" s="47" t="s">
        <v>29</v>
      </c>
      <c r="C14" s="47"/>
      <c r="D14" s="47"/>
      <c r="E14" s="47"/>
      <c r="F14" s="47"/>
      <c r="G14" s="53" t="s">
        <v>30</v>
      </c>
      <c r="H14" s="54" t="s">
        <v>31</v>
      </c>
      <c r="I14" s="53" t="s">
        <v>32</v>
      </c>
      <c r="J14" s="53" t="s">
        <v>33</v>
      </c>
      <c r="K14" s="47" t="s">
        <v>34</v>
      </c>
      <c r="L14" s="47"/>
      <c r="M14" s="47"/>
      <c r="N14" s="47"/>
      <c r="O14" s="47"/>
      <c r="P14" s="36"/>
    </row>
    <row r="15" spans="1:20" ht="96" x14ac:dyDescent="0.2">
      <c r="A15" s="52"/>
      <c r="B15" s="17" t="str">
        <f>$I$6</f>
        <v>Alexa</v>
      </c>
      <c r="C15" s="17" t="str">
        <f>$I$7</f>
        <v>Julia</v>
      </c>
      <c r="D15" s="17" t="str">
        <f>$I$8</f>
        <v>Rayan</v>
      </c>
      <c r="E15" s="17" t="str">
        <f>$I$9</f>
        <v>Arun</v>
      </c>
      <c r="F15" s="17" t="str">
        <f>$I$10</f>
        <v>Martin</v>
      </c>
      <c r="G15" s="53"/>
      <c r="H15" s="54"/>
      <c r="I15" s="53"/>
      <c r="J15" s="53"/>
      <c r="K15" s="17" t="str">
        <f>$I$6</f>
        <v>Alexa</v>
      </c>
      <c r="L15" s="17" t="str">
        <f>$I$7</f>
        <v>Julia</v>
      </c>
      <c r="M15" s="17" t="str">
        <f>$I$8</f>
        <v>Rayan</v>
      </c>
      <c r="N15" s="17" t="str">
        <f>$I$9</f>
        <v>Arun</v>
      </c>
      <c r="O15" s="17" t="str">
        <f>$I$10</f>
        <v>Martin</v>
      </c>
      <c r="P15" s="11"/>
    </row>
    <row r="16" spans="1:20" x14ac:dyDescent="0.2">
      <c r="A16" s="33" t="s">
        <v>35</v>
      </c>
      <c r="B16" s="18"/>
      <c r="C16" s="18"/>
      <c r="D16" s="18"/>
      <c r="E16" s="18"/>
      <c r="F16" s="18"/>
      <c r="G16" s="34"/>
      <c r="H16" s="21"/>
      <c r="I16" s="34"/>
      <c r="J16" s="35"/>
      <c r="K16" s="23"/>
      <c r="L16" s="18"/>
      <c r="M16" s="18"/>
      <c r="N16" s="18"/>
      <c r="O16" s="19"/>
      <c r="P16" s="11"/>
    </row>
    <row r="17" spans="1:16" ht="54" customHeight="1" x14ac:dyDescent="0.2">
      <c r="A17" s="25">
        <v>46277</v>
      </c>
      <c r="B17" s="26">
        <v>1</v>
      </c>
      <c r="C17" s="26">
        <v>1</v>
      </c>
      <c r="D17" s="26">
        <v>1</v>
      </c>
      <c r="E17" s="26">
        <v>1</v>
      </c>
      <c r="F17" s="26">
        <v>1</v>
      </c>
      <c r="G17" s="26" t="s">
        <v>36</v>
      </c>
      <c r="H17" s="27">
        <v>3</v>
      </c>
      <c r="I17" s="26" t="s">
        <v>37</v>
      </c>
      <c r="J17" s="28" t="s">
        <v>38</v>
      </c>
      <c r="K17" s="17">
        <v>1</v>
      </c>
      <c r="L17" s="17">
        <v>1</v>
      </c>
      <c r="M17" s="17">
        <v>1</v>
      </c>
      <c r="N17" s="17">
        <v>1</v>
      </c>
      <c r="O17" s="17">
        <v>1</v>
      </c>
      <c r="P17" s="11"/>
    </row>
    <row r="18" spans="1:16" ht="58.5" customHeight="1" x14ac:dyDescent="0.2">
      <c r="A18" s="43">
        <v>43485</v>
      </c>
      <c r="B18" s="44">
        <v>1</v>
      </c>
      <c r="C18" s="44">
        <v>1</v>
      </c>
      <c r="D18" s="44">
        <v>1</v>
      </c>
      <c r="E18" s="44">
        <v>1</v>
      </c>
      <c r="F18" s="44">
        <v>1</v>
      </c>
      <c r="G18" s="44" t="s">
        <v>39</v>
      </c>
      <c r="H18" s="45">
        <v>2</v>
      </c>
      <c r="I18" s="44" t="s">
        <v>40</v>
      </c>
      <c r="J18" s="44" t="s">
        <v>41</v>
      </c>
      <c r="K18" s="46">
        <f t="shared" ref="K18:K24" si="0">B18*$H18</f>
        <v>2</v>
      </c>
      <c r="L18" s="17">
        <f t="shared" ref="L18:O24" si="1">C18*$H18</f>
        <v>2</v>
      </c>
      <c r="M18" s="17">
        <f t="shared" si="1"/>
        <v>2</v>
      </c>
      <c r="N18" s="17">
        <f t="shared" si="1"/>
        <v>2</v>
      </c>
      <c r="O18" s="17">
        <f t="shared" si="1"/>
        <v>2</v>
      </c>
      <c r="P18" s="11"/>
    </row>
    <row r="19" spans="1:16" x14ac:dyDescent="0.2">
      <c r="A19" s="29"/>
      <c r="B19" s="30"/>
      <c r="C19" s="30"/>
      <c r="D19" s="30"/>
      <c r="E19" s="30"/>
      <c r="F19" s="30"/>
      <c r="G19" s="30"/>
      <c r="H19" s="31"/>
      <c r="I19" s="30"/>
      <c r="J19" s="30"/>
      <c r="K19" s="17"/>
      <c r="L19" s="17"/>
      <c r="M19" s="17"/>
      <c r="N19" s="17"/>
      <c r="O19" s="17"/>
      <c r="P19" s="11"/>
    </row>
    <row r="20" spans="1:16" x14ac:dyDescent="0.2">
      <c r="A20" s="29"/>
      <c r="B20" s="30"/>
      <c r="C20" s="30"/>
      <c r="D20" s="30"/>
      <c r="E20" s="30"/>
      <c r="F20" s="30"/>
      <c r="G20" s="30"/>
      <c r="H20" s="31"/>
      <c r="I20" s="30"/>
      <c r="J20" s="30"/>
      <c r="K20" s="17"/>
      <c r="L20" s="17"/>
      <c r="M20" s="17"/>
      <c r="N20" s="17"/>
      <c r="O20" s="17"/>
      <c r="P20" s="11"/>
    </row>
    <row r="21" spans="1:16" ht="18" customHeight="1" x14ac:dyDescent="0.2">
      <c r="A21" s="1"/>
      <c r="J21" s="24" t="s">
        <v>42</v>
      </c>
      <c r="K21" s="39">
        <f>SUM(K17:K18)</f>
        <v>3</v>
      </c>
      <c r="L21" s="39">
        <f t="shared" ref="L21:O21" si="2">SUM(L17:L18)</f>
        <v>3</v>
      </c>
      <c r="M21" s="39">
        <f t="shared" si="2"/>
        <v>3</v>
      </c>
      <c r="N21" s="39">
        <f t="shared" si="2"/>
        <v>3</v>
      </c>
      <c r="O21" s="39">
        <f t="shared" si="2"/>
        <v>3</v>
      </c>
      <c r="P21" s="11"/>
    </row>
    <row r="22" spans="1:16" ht="16.5" customHeight="1" x14ac:dyDescent="0.2">
      <c r="A22" s="1"/>
      <c r="J22" s="24" t="s">
        <v>43</v>
      </c>
      <c r="K22" s="2"/>
      <c r="L22" s="3"/>
      <c r="M22" s="3"/>
      <c r="N22" s="3"/>
      <c r="O22" s="4"/>
      <c r="P22" s="11">
        <f>SUM(K21:O21)</f>
        <v>15</v>
      </c>
    </row>
    <row r="23" spans="1:16" ht="19.5" customHeight="1" x14ac:dyDescent="0.2">
      <c r="A23" s="1" t="s">
        <v>44</v>
      </c>
      <c r="K23" s="23"/>
      <c r="L23" s="18"/>
      <c r="M23" s="18"/>
      <c r="N23" s="18"/>
      <c r="O23" s="19"/>
      <c r="P23" s="11"/>
    </row>
    <row r="24" spans="1:16" ht="51" customHeight="1" x14ac:dyDescent="0.2">
      <c r="A24" s="29">
        <v>43490</v>
      </c>
      <c r="B24" s="30">
        <v>1</v>
      </c>
      <c r="C24" s="30"/>
      <c r="D24" s="30"/>
      <c r="E24" s="30"/>
      <c r="F24" s="30"/>
      <c r="G24" s="30" t="s">
        <v>45</v>
      </c>
      <c r="H24" s="31">
        <v>3</v>
      </c>
      <c r="I24" s="30" t="s">
        <v>46</v>
      </c>
      <c r="J24" s="32" t="s">
        <v>47</v>
      </c>
      <c r="K24" s="17">
        <f t="shared" si="0"/>
        <v>3</v>
      </c>
      <c r="L24" s="17">
        <f t="shared" si="1"/>
        <v>0</v>
      </c>
      <c r="M24" s="17">
        <f t="shared" si="1"/>
        <v>0</v>
      </c>
      <c r="N24" s="17">
        <f t="shared" si="1"/>
        <v>0</v>
      </c>
      <c r="O24" s="17">
        <f t="shared" si="1"/>
        <v>0</v>
      </c>
      <c r="P24" s="11"/>
    </row>
    <row r="25" spans="1:16" x14ac:dyDescent="0.2">
      <c r="A25" s="29"/>
      <c r="B25" s="30"/>
      <c r="C25" s="30"/>
      <c r="D25" s="30"/>
      <c r="E25" s="30"/>
      <c r="F25" s="30"/>
      <c r="G25" s="30"/>
      <c r="H25" s="31"/>
      <c r="I25" s="30"/>
      <c r="J25" s="32"/>
      <c r="K25" s="17"/>
      <c r="L25" s="17"/>
      <c r="M25" s="17"/>
      <c r="N25" s="17"/>
      <c r="O25" s="17"/>
      <c r="P25" s="11"/>
    </row>
    <row r="26" spans="1:16" x14ac:dyDescent="0.2">
      <c r="A26" s="29"/>
      <c r="B26" s="30"/>
      <c r="C26" s="30"/>
      <c r="D26" s="30"/>
      <c r="E26" s="30"/>
      <c r="F26" s="30"/>
      <c r="G26" s="30"/>
      <c r="H26" s="31"/>
      <c r="I26" s="30"/>
      <c r="J26" s="32"/>
      <c r="K26" s="17"/>
      <c r="L26" s="17"/>
      <c r="M26" s="17"/>
      <c r="N26" s="17"/>
      <c r="O26" s="17"/>
      <c r="P26" s="11"/>
    </row>
    <row r="27" spans="1:16" x14ac:dyDescent="0.2">
      <c r="A27" s="29"/>
      <c r="B27" s="30"/>
      <c r="C27" s="30"/>
      <c r="D27" s="30"/>
      <c r="E27" s="30"/>
      <c r="F27" s="30"/>
      <c r="G27" s="30"/>
      <c r="H27" s="31"/>
      <c r="I27" s="30"/>
      <c r="J27" s="32"/>
      <c r="K27" s="17"/>
      <c r="L27" s="17"/>
      <c r="M27" s="17"/>
      <c r="N27" s="17"/>
      <c r="O27" s="17"/>
      <c r="P27" s="11"/>
    </row>
    <row r="28" spans="1:16" ht="16" x14ac:dyDescent="0.2">
      <c r="A28" s="1"/>
      <c r="G28" s="24"/>
      <c r="J28" s="22" t="s">
        <v>42</v>
      </c>
      <c r="K28" s="39">
        <f>SUM(K24:K27)</f>
        <v>3</v>
      </c>
      <c r="L28" s="39">
        <f t="shared" ref="L28:O28" si="3">SUM(L24:L27)</f>
        <v>0</v>
      </c>
      <c r="M28" s="39">
        <f t="shared" si="3"/>
        <v>0</v>
      </c>
      <c r="N28" s="39">
        <f t="shared" si="3"/>
        <v>0</v>
      </c>
      <c r="O28" s="39">
        <f t="shared" si="3"/>
        <v>0</v>
      </c>
      <c r="P28" s="11"/>
    </row>
    <row r="29" spans="1:16" ht="16" x14ac:dyDescent="0.2">
      <c r="A29" s="1"/>
      <c r="J29" s="24" t="s">
        <v>43</v>
      </c>
      <c r="O29" s="11"/>
      <c r="P29" s="11">
        <f>SUM(K28:O28)</f>
        <v>3</v>
      </c>
    </row>
    <row r="30" spans="1:16" x14ac:dyDescent="0.2">
      <c r="A30" s="1"/>
      <c r="O30" s="11"/>
      <c r="P30" s="11"/>
    </row>
    <row r="31" spans="1:16" x14ac:dyDescent="0.2">
      <c r="A31" s="1" t="s">
        <v>48</v>
      </c>
      <c r="K31" s="23"/>
      <c r="L31" s="18"/>
      <c r="M31" s="18"/>
      <c r="N31" s="18"/>
      <c r="O31" s="19"/>
      <c r="P31" s="11"/>
    </row>
    <row r="32" spans="1:16" ht="32" x14ac:dyDescent="0.2">
      <c r="A32" s="29">
        <v>43490</v>
      </c>
      <c r="B32" s="30">
        <v>1</v>
      </c>
      <c r="C32" s="30">
        <v>1</v>
      </c>
      <c r="D32" s="30">
        <v>1</v>
      </c>
      <c r="E32" s="30">
        <v>1</v>
      </c>
      <c r="F32" s="30">
        <v>1</v>
      </c>
      <c r="G32" s="30" t="s">
        <v>49</v>
      </c>
      <c r="H32" s="31">
        <v>3</v>
      </c>
      <c r="I32" s="30" t="s">
        <v>50</v>
      </c>
      <c r="J32" s="32" t="s">
        <v>51</v>
      </c>
      <c r="K32" s="17">
        <f t="shared" ref="K32" si="4">B32*$H32</f>
        <v>3</v>
      </c>
      <c r="L32" s="17">
        <f t="shared" ref="L32" si="5">C32*$H32</f>
        <v>3</v>
      </c>
      <c r="M32" s="17">
        <f t="shared" ref="M32" si="6">D32*$H32</f>
        <v>3</v>
      </c>
      <c r="N32" s="17">
        <f t="shared" ref="N32" si="7">E32*$H32</f>
        <v>3</v>
      </c>
      <c r="O32" s="17">
        <f t="shared" ref="O32" si="8">F32*$H32</f>
        <v>3</v>
      </c>
      <c r="P32" s="11"/>
    </row>
    <row r="33" spans="1:16" x14ac:dyDescent="0.2">
      <c r="A33" s="29"/>
      <c r="B33" s="30"/>
      <c r="C33" s="30"/>
      <c r="D33" s="30"/>
      <c r="E33" s="30"/>
      <c r="F33" s="30"/>
      <c r="G33" s="30"/>
      <c r="H33" s="31"/>
      <c r="I33" s="30"/>
      <c r="J33" s="32"/>
      <c r="K33" s="17"/>
      <c r="L33" s="17"/>
      <c r="M33" s="17"/>
      <c r="N33" s="17"/>
      <c r="O33" s="17"/>
      <c r="P33" s="11"/>
    </row>
    <row r="34" spans="1:16" x14ac:dyDescent="0.2">
      <c r="A34" s="29"/>
      <c r="B34" s="30"/>
      <c r="C34" s="30"/>
      <c r="D34" s="30"/>
      <c r="E34" s="30"/>
      <c r="F34" s="30"/>
      <c r="G34" s="30"/>
      <c r="H34" s="31"/>
      <c r="I34" s="30"/>
      <c r="J34" s="32"/>
      <c r="K34" s="17"/>
      <c r="L34" s="17"/>
      <c r="M34" s="17"/>
      <c r="N34" s="17"/>
      <c r="O34" s="17"/>
      <c r="P34" s="11"/>
    </row>
    <row r="35" spans="1:16" x14ac:dyDescent="0.2">
      <c r="A35" s="29"/>
      <c r="B35" s="30"/>
      <c r="C35" s="30"/>
      <c r="D35" s="30"/>
      <c r="E35" s="30"/>
      <c r="F35" s="30"/>
      <c r="G35" s="30"/>
      <c r="H35" s="31"/>
      <c r="I35" s="30"/>
      <c r="J35" s="32"/>
      <c r="K35" s="17"/>
      <c r="L35" s="17"/>
      <c r="M35" s="17"/>
      <c r="N35" s="17"/>
      <c r="O35" s="17"/>
      <c r="P35" s="11"/>
    </row>
    <row r="36" spans="1:16" ht="16" x14ac:dyDescent="0.2">
      <c r="A36" s="1"/>
      <c r="G36" s="24"/>
      <c r="J36" s="22" t="s">
        <v>42</v>
      </c>
      <c r="K36" s="39">
        <f>SUM(K32:K35)</f>
        <v>3</v>
      </c>
      <c r="L36" s="39">
        <f t="shared" ref="L36" si="9">SUM(L32:L35)</f>
        <v>3</v>
      </c>
      <c r="M36" s="39">
        <f t="shared" ref="M36" si="10">SUM(M32:M35)</f>
        <v>3</v>
      </c>
      <c r="N36" s="39">
        <f t="shared" ref="N36" si="11">SUM(N32:N35)</f>
        <v>3</v>
      </c>
      <c r="O36" s="39">
        <f t="shared" ref="O36" si="12">SUM(O32:O35)</f>
        <v>3</v>
      </c>
      <c r="P36" s="11"/>
    </row>
    <row r="37" spans="1:16" ht="16" x14ac:dyDescent="0.2">
      <c r="A37" s="1"/>
      <c r="J37" s="24" t="s">
        <v>43</v>
      </c>
      <c r="O37" s="11"/>
      <c r="P37" s="11">
        <f>SUM(K36:O36)</f>
        <v>15</v>
      </c>
    </row>
    <row r="38" spans="1:16" x14ac:dyDescent="0.2">
      <c r="A38" s="1"/>
      <c r="J38" s="24"/>
      <c r="O38" s="11"/>
      <c r="P38" s="11"/>
    </row>
    <row r="39" spans="1:16" x14ac:dyDescent="0.2">
      <c r="A39" s="1" t="s">
        <v>52</v>
      </c>
      <c r="K39" s="23"/>
      <c r="L39" s="18"/>
      <c r="M39" s="18"/>
      <c r="N39" s="18"/>
      <c r="O39" s="19"/>
      <c r="P39" s="11"/>
    </row>
    <row r="40" spans="1:16" ht="48" x14ac:dyDescent="0.2">
      <c r="A40" s="29">
        <v>43490</v>
      </c>
      <c r="B40" s="30"/>
      <c r="C40" s="30">
        <v>1</v>
      </c>
      <c r="D40" s="30"/>
      <c r="E40" s="30"/>
      <c r="F40" s="30"/>
      <c r="G40" s="30" t="s">
        <v>53</v>
      </c>
      <c r="H40" s="31">
        <v>5</v>
      </c>
      <c r="I40" s="30" t="s">
        <v>54</v>
      </c>
      <c r="J40" s="32" t="s">
        <v>55</v>
      </c>
      <c r="K40" s="17">
        <f t="shared" ref="K40" si="13">B40*$H40</f>
        <v>0</v>
      </c>
      <c r="L40" s="17">
        <f t="shared" ref="L40" si="14">C40*$H40</f>
        <v>5</v>
      </c>
      <c r="M40" s="17">
        <f t="shared" ref="M40" si="15">D40*$H40</f>
        <v>0</v>
      </c>
      <c r="N40" s="17">
        <f t="shared" ref="N40" si="16">E40*$H40</f>
        <v>0</v>
      </c>
      <c r="O40" s="17">
        <f t="shared" ref="O40" si="17">F40*$H40</f>
        <v>0</v>
      </c>
      <c r="P40" s="11"/>
    </row>
    <row r="41" spans="1:16" x14ac:dyDescent="0.2">
      <c r="A41" s="29"/>
      <c r="B41" s="30"/>
      <c r="C41" s="30"/>
      <c r="D41" s="30"/>
      <c r="E41" s="30"/>
      <c r="F41" s="30"/>
      <c r="G41" s="30"/>
      <c r="H41" s="31"/>
      <c r="I41" s="30"/>
      <c r="J41" s="32"/>
      <c r="K41" s="17"/>
      <c r="L41" s="17"/>
      <c r="M41" s="17"/>
      <c r="N41" s="17"/>
      <c r="O41" s="17"/>
      <c r="P41" s="11"/>
    </row>
    <row r="42" spans="1:16" x14ac:dyDescent="0.2">
      <c r="A42" s="29"/>
      <c r="B42" s="30"/>
      <c r="C42" s="30"/>
      <c r="D42" s="30"/>
      <c r="E42" s="30"/>
      <c r="F42" s="30"/>
      <c r="G42" s="30"/>
      <c r="H42" s="31"/>
      <c r="I42" s="30"/>
      <c r="J42" s="32"/>
      <c r="K42" s="17"/>
      <c r="L42" s="17"/>
      <c r="M42" s="17"/>
      <c r="N42" s="17"/>
      <c r="O42" s="17"/>
      <c r="P42" s="11"/>
    </row>
    <row r="43" spans="1:16" x14ac:dyDescent="0.2">
      <c r="A43" s="29"/>
      <c r="B43" s="30"/>
      <c r="C43" s="30"/>
      <c r="D43" s="30"/>
      <c r="E43" s="30"/>
      <c r="F43" s="30"/>
      <c r="G43" s="30"/>
      <c r="H43" s="31"/>
      <c r="I43" s="30"/>
      <c r="J43" s="32"/>
      <c r="K43" s="17"/>
      <c r="L43" s="17"/>
      <c r="M43" s="17"/>
      <c r="N43" s="17"/>
      <c r="O43" s="17"/>
      <c r="P43" s="11"/>
    </row>
    <row r="44" spans="1:16" ht="16" x14ac:dyDescent="0.2">
      <c r="A44" s="1"/>
      <c r="G44" s="24"/>
      <c r="J44" s="22" t="s">
        <v>42</v>
      </c>
      <c r="K44" s="39">
        <f>SUM(K40:K43)</f>
        <v>0</v>
      </c>
      <c r="L44" s="39">
        <f t="shared" ref="L44" si="18">SUM(L40:L43)</f>
        <v>5</v>
      </c>
      <c r="M44" s="39">
        <f t="shared" ref="M44" si="19">SUM(M40:M43)</f>
        <v>0</v>
      </c>
      <c r="N44" s="39">
        <f t="shared" ref="N44" si="20">SUM(N40:N43)</f>
        <v>0</v>
      </c>
      <c r="O44" s="39">
        <f t="shared" ref="O44" si="21">SUM(O40:O43)</f>
        <v>0</v>
      </c>
      <c r="P44" s="11"/>
    </row>
    <row r="45" spans="1:16" x14ac:dyDescent="0.2">
      <c r="A45" s="1"/>
      <c r="J45" t="s">
        <v>56</v>
      </c>
      <c r="O45" s="11"/>
      <c r="P45" s="11">
        <f>SUM(K44:O44)</f>
        <v>5</v>
      </c>
    </row>
    <row r="46" spans="1:16" x14ac:dyDescent="0.2">
      <c r="A46" s="1" t="s">
        <v>57</v>
      </c>
      <c r="K46" s="23"/>
      <c r="L46" s="18"/>
      <c r="M46" s="18"/>
      <c r="N46" s="18"/>
      <c r="O46" s="19"/>
      <c r="P46" s="11"/>
    </row>
    <row r="47" spans="1:16" ht="64" x14ac:dyDescent="0.2">
      <c r="A47" s="29">
        <v>43490</v>
      </c>
      <c r="B47" s="30">
        <v>1</v>
      </c>
      <c r="C47" s="30">
        <v>1</v>
      </c>
      <c r="D47" s="30">
        <v>1</v>
      </c>
      <c r="E47" s="30">
        <v>1</v>
      </c>
      <c r="F47" s="30">
        <v>1</v>
      </c>
      <c r="G47" s="30" t="s">
        <v>58</v>
      </c>
      <c r="H47" s="31">
        <v>2</v>
      </c>
      <c r="I47" s="30" t="s">
        <v>59</v>
      </c>
      <c r="J47" s="32" t="s">
        <v>60</v>
      </c>
      <c r="K47" s="17">
        <f t="shared" ref="K47" si="22">B47*$H47</f>
        <v>2</v>
      </c>
      <c r="L47" s="17">
        <f t="shared" ref="L47" si="23">C47*$H47</f>
        <v>2</v>
      </c>
      <c r="M47" s="17">
        <f t="shared" ref="M47" si="24">D47*$H47</f>
        <v>2</v>
      </c>
      <c r="N47" s="17">
        <f t="shared" ref="N47" si="25">E47*$H47</f>
        <v>2</v>
      </c>
      <c r="O47" s="17">
        <f t="shared" ref="O47" si="26">F47*$H47</f>
        <v>2</v>
      </c>
      <c r="P47" s="11"/>
    </row>
    <row r="48" spans="1:16" x14ac:dyDescent="0.2">
      <c r="A48" s="29"/>
      <c r="B48" s="30"/>
      <c r="C48" s="30"/>
      <c r="D48" s="30"/>
      <c r="E48" s="30"/>
      <c r="F48" s="30"/>
      <c r="G48" s="30"/>
      <c r="H48" s="31"/>
      <c r="I48" s="30"/>
      <c r="J48" s="32"/>
      <c r="K48" s="17"/>
      <c r="L48" s="17"/>
      <c r="M48" s="17"/>
      <c r="N48" s="17"/>
      <c r="O48" s="17"/>
      <c r="P48" s="11"/>
    </row>
    <row r="49" spans="1:16" x14ac:dyDescent="0.2">
      <c r="A49" s="29"/>
      <c r="B49" s="30"/>
      <c r="C49" s="30"/>
      <c r="D49" s="30"/>
      <c r="E49" s="30"/>
      <c r="F49" s="30"/>
      <c r="G49" s="30"/>
      <c r="H49" s="31"/>
      <c r="I49" s="30"/>
      <c r="J49" s="32"/>
      <c r="K49" s="17"/>
      <c r="L49" s="17"/>
      <c r="M49" s="17"/>
      <c r="N49" s="17"/>
      <c r="O49" s="17"/>
      <c r="P49" s="11"/>
    </row>
    <row r="50" spans="1:16" x14ac:dyDescent="0.2">
      <c r="A50" s="29"/>
      <c r="B50" s="30"/>
      <c r="C50" s="30"/>
      <c r="D50" s="30"/>
      <c r="E50" s="30"/>
      <c r="F50" s="30"/>
      <c r="G50" s="30"/>
      <c r="H50" s="31"/>
      <c r="I50" s="30"/>
      <c r="J50" s="32"/>
      <c r="K50" s="17"/>
      <c r="L50" s="17"/>
      <c r="M50" s="17"/>
      <c r="N50" s="17"/>
      <c r="O50" s="17"/>
      <c r="P50" s="11"/>
    </row>
    <row r="51" spans="1:16" ht="16" x14ac:dyDescent="0.2">
      <c r="A51" s="1"/>
      <c r="G51" s="24"/>
      <c r="J51" s="22" t="s">
        <v>42</v>
      </c>
      <c r="K51" s="39">
        <f>SUM(K47:K50)</f>
        <v>2</v>
      </c>
      <c r="L51" s="39">
        <f t="shared" ref="L51" si="27">SUM(L47:L50)</f>
        <v>2</v>
      </c>
      <c r="M51" s="39">
        <f t="shared" ref="M51" si="28">SUM(M47:M50)</f>
        <v>2</v>
      </c>
      <c r="N51" s="39">
        <f t="shared" ref="N51" si="29">SUM(N47:N50)</f>
        <v>2</v>
      </c>
      <c r="O51" s="39">
        <f t="shared" ref="O51" si="30">SUM(O47:O50)</f>
        <v>2</v>
      </c>
      <c r="P51" s="11"/>
    </row>
    <row r="52" spans="1:16" x14ac:dyDescent="0.2">
      <c r="A52" s="1"/>
      <c r="J52" t="s">
        <v>61</v>
      </c>
      <c r="O52" s="11"/>
      <c r="P52" s="11">
        <f>SUM(K51:O51)</f>
        <v>10</v>
      </c>
    </row>
    <row r="53" spans="1:16" x14ac:dyDescent="0.2">
      <c r="A53" s="1"/>
      <c r="O53" s="11"/>
      <c r="P53" s="11"/>
    </row>
    <row r="54" spans="1:16" ht="32" x14ac:dyDescent="0.2">
      <c r="A54" s="1"/>
      <c r="J54" s="20" t="s">
        <v>62</v>
      </c>
      <c r="K54">
        <f>SUMIF($J16:$J53,"Total Hours",K16:K53)</f>
        <v>11</v>
      </c>
      <c r="L54">
        <f t="shared" ref="L54:O54" si="31">SUMIF($J16:$J53,"Total Hours",L16:L53)</f>
        <v>13</v>
      </c>
      <c r="M54">
        <f t="shared" si="31"/>
        <v>8</v>
      </c>
      <c r="N54">
        <f t="shared" si="31"/>
        <v>8</v>
      </c>
      <c r="O54">
        <f t="shared" si="31"/>
        <v>8</v>
      </c>
      <c r="P54" s="11"/>
    </row>
    <row r="55" spans="1:16" ht="32" x14ac:dyDescent="0.2">
      <c r="A55" s="2"/>
      <c r="B55" s="3"/>
      <c r="C55" s="3"/>
      <c r="D55" s="3"/>
      <c r="E55" s="3"/>
      <c r="F55" s="3"/>
      <c r="G55" s="3"/>
      <c r="H55" s="3"/>
      <c r="I55" s="3"/>
      <c r="J55" s="37" t="s">
        <v>63</v>
      </c>
      <c r="K55" s="3"/>
      <c r="L55" s="3"/>
      <c r="M55" s="3"/>
      <c r="N55" s="3"/>
      <c r="O55" s="4"/>
      <c r="P55" s="4">
        <f>SUM(K54:O54)</f>
        <v>48</v>
      </c>
    </row>
  </sheetData>
  <mergeCells count="10">
    <mergeCell ref="K14:O14"/>
    <mergeCell ref="Q3:Q10"/>
    <mergeCell ref="G3:I3"/>
    <mergeCell ref="B14:F14"/>
    <mergeCell ref="A14:A15"/>
    <mergeCell ref="G14:G15"/>
    <mergeCell ref="H14:H15"/>
    <mergeCell ref="I14:I15"/>
    <mergeCell ref="J14:J15"/>
    <mergeCell ref="J3:J5"/>
  </mergeCells>
  <dataValidations count="1">
    <dataValidation type="list" allowBlank="1" showInputMessage="1" showErrorMessage="1" sqref="T3:T8" xr:uid="{4538DDBB-2142-4453-98F1-E26A0BED68C0}">
      <formula1>"Completed, In-Progress, Not started"</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2026-09-20T20:44:32Z</dcterms:modified>
  <cp:category/>
  <cp:contentStatus/>
</cp:coreProperties>
</file>